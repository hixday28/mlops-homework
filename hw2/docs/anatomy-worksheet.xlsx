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к пользоваться" sheetId="1" state="visible" r:id="rId3"/>
    <sheet name="Параметры" sheetId="2" state="visible" r:id="rId4"/>
    <sheet name="LoRA" sheetId="3" state="visible" r:id="rId5"/>
    <sheet name="Память" sheetId="4" state="visible" r:id="rId6"/>
    <sheet name="Ответы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<sst xmlns="http://schemas.openxmlformats.org/spreadsheetml/2006/main" count="148" uniqueCount="108">
  <si>
    <t xml:space="preserve">Сводная таблица к ДЗ 2 «Анатомия модели»</t>
  </si>
  <si>
    <t xml:space="preserve">Жёлтые клетки заполняете вы. Сиреневые считаются формулами — их не трогайте.</t>
  </si>
  <si>
    <t xml:space="preserve">Числа берутся из вашего docs/report.json и из вывода вашей же программы.</t>
  </si>
  <si>
    <t xml:space="preserve">Зачем это нужно</t>
  </si>
  <si>
    <t xml:space="preserve">Код можно сгенерировать и ни разу не посмотреть, что он выдал. Таблицу — нельзя:</t>
  </si>
  <si>
    <t xml:space="preserve">контрольные суммы считаются здесь, и расхождение подсвечивается красным сразу.</t>
  </si>
  <si>
    <t xml:space="preserve">Если у вас всё зелёное — вы точно посмотрели на свои числа хотя бы один раз.</t>
  </si>
  <si>
    <t xml:space="preserve">Что заполнять</t>
  </si>
  <si>
    <t xml:space="preserve">«Параметры» — таблица модуль → параметры → доля. Сумма обязана сойтись с params_total.</t>
  </si>
  <si>
    <t xml:space="preserve">«LoRA» — свой расчёт параметров адаптера и то, что показал peft. Должны совпасть точно.</t>
  </si>
  <si>
    <t xml:space="preserve">«Память» — три режима и условия замера. Пик не может быть меньше весов модели.</t>
  </si>
  <si>
    <t xml:space="preserve">«Ответы» — пять вопросов. Отвечать своими словами, одного-двух предложений хватит.</t>
  </si>
  <si>
    <t xml:space="preserve">Сдаётся вместе с репозиторием</t>
  </si>
  <si>
    <t xml:space="preserve">Файл кладёте в docs/ рядом с отчётом. Заполненная таблица — часть отчёта, а не замена ему.</t>
  </si>
  <si>
    <t xml:space="preserve">Заполнено по docs/report.json от 2026-09-15T14:59:49.503031+00:00; пояснения — docs/anatomy.md.</t>
  </si>
  <si>
    <t xml:space="preserve">На листе LoRA: r=8 q/v сверху, r=16 все 7 проекций ниже. В строке norm — сводный вектор.</t>
  </si>
  <si>
    <t xml:space="preserve">После нового make inspect сверить и обновить жёлтые числовые клетки; это снимок измерений.</t>
  </si>
  <si>
    <t xml:space="preserve">Параметры по модулям</t>
  </si>
  <si>
    <t xml:space="preserve">Столбцы «строк» и «столбцов» — размеры одной матрицы. «Штук» — сколько таких модулей во всей модели.</t>
  </si>
  <si>
    <t xml:space="preserve">модуль</t>
  </si>
  <si>
    <t xml:space="preserve">штук</t>
  </si>
  <si>
    <t xml:space="preserve">строк</t>
  </si>
  <si>
    <t xml:space="preserve">столбцов</t>
  </si>
  <si>
    <t xml:space="preserve">по формуле
штук × строк × столбцов</t>
  </si>
  <si>
    <t xml:space="preserve">по sum(p.numel())</t>
  </si>
  <si>
    <t xml:space="preserve">сходится?</t>
  </si>
  <si>
    <t xml:space="preserve">доля модели</t>
  </si>
  <si>
    <t xml:space="preserve">примечание</t>
  </si>
  <si>
    <t xml:space="preserve">embed</t>
  </si>
  <si>
    <t xml:space="preserve">q_proj</t>
  </si>
  <si>
    <t xml:space="preserve">k_proj</t>
  </si>
  <si>
    <t xml:space="preserve">v_proj</t>
  </si>
  <si>
    <t xml:space="preserve">o_proj</t>
  </si>
  <si>
    <t xml:space="preserve">gate_proj</t>
  </si>
  <si>
    <t xml:space="preserve">up_proj</t>
  </si>
  <si>
    <t xml:space="preserve">down_proj</t>
  </si>
  <si>
    <t xml:space="preserve">norm</t>
  </si>
  <si>
    <t xml:space="preserve">Сводный вектор: 57×1024 + 56×128. Всего 113 норм; размеры отдельных векторов — 1024 и 128.</t>
  </si>
  <si>
    <t xml:space="preserve">lm_head</t>
  </si>
  <si>
    <t xml:space="preserve">Один lm_head; собственных матриц — 0. Использует 155 582 464 параметра embed.</t>
  </si>
  <si>
    <t xml:space="preserve">ИТОГО</t>
  </si>
  <si>
    <t xml:space="preserve">params_total из отчёта</t>
  </si>
  <si>
    <t xml:space="preserve">сумма сошлась?</t>
  </si>
  <si>
    <t xml:space="preserve">LoRA: r=8, q_proj+v_proj</t>
  </si>
  <si>
    <t xml:space="preserve">На каждый целевой модуль адаптер добавляет r × (вход + выход) чисел. Умножаем на число слоёв.</t>
  </si>
  <si>
    <t xml:space="preserve">r (ранг)</t>
  </si>
  <si>
    <t xml:space="preserve">lora_alpha</t>
  </si>
  <si>
    <t xml:space="preserve">целевой модуль</t>
  </si>
  <si>
    <t xml:space="preserve">слоёв</t>
  </si>
  <si>
    <t xml:space="preserve">вход</t>
  </si>
  <si>
    <t xml:space="preserve">выход</t>
  </si>
  <si>
    <t xml:space="preserve">параметров адаптера
r × (вход + выход) × слоёв</t>
  </si>
  <si>
    <t xml:space="preserve">включён?</t>
  </si>
  <si>
    <t xml:space="preserve">да</t>
  </si>
  <si>
    <t xml:space="preserve">нет</t>
  </si>
  <si>
    <t xml:space="preserve">по вашей формуле</t>
  </si>
  <si>
    <t xml:space="preserve">что показал peft</t>
  </si>
  <si>
    <t xml:space="preserve">совпало?</t>
  </si>
  <si>
    <t xml:space="preserve">параметров базовой модели</t>
  </si>
  <si>
    <t xml:space="preserve">доля обучаемых</t>
  </si>
  <si>
    <t xml:space="preserve">LoRA: r=16, все линейные</t>
  </si>
  <si>
    <t xml:space="preserve">Память в трёх режимах</t>
  </si>
  <si>
    <t xml:space="preserve">Пик памяти не может быть меньше весов модели ни в одном режиме. Если меньше — измерено не то.</t>
  </si>
  <si>
    <t xml:space="preserve">режим</t>
  </si>
  <si>
    <t xml:space="preserve">пик, MiB</t>
  </si>
  <si>
    <t xml:space="preserve">× к инференсу</t>
  </si>
  <si>
    <t xml:space="preserve">всего, с</t>
  </si>
  <si>
    <t xml:space="preserve">пик больше весов?</t>
  </si>
  <si>
    <t xml:space="preserve">инференс</t>
  </si>
  <si>
    <t xml:space="preserve">full fine-tune</t>
  </si>
  <si>
    <t xml:space="preserve">LoRA (r=8, q/v)</t>
  </si>
  <si>
    <t xml:space="preserve">Проверка на вменяемость</t>
  </si>
  <si>
    <t xml:space="preserve">параметров в модели</t>
  </si>
  <si>
    <t xml:space="preserve">байт на число (bf16 = 2)</t>
  </si>
  <si>
    <t xml:space="preserve">веса модели, MiB</t>
  </si>
  <si>
    <t xml:space="preserve">Условия замера — без них числа ничего не значат</t>
  </si>
  <si>
    <t xml:space="preserve">устройство (cpu / cuda / mps)</t>
  </si>
  <si>
    <t xml:space="preserve">mps</t>
  </si>
  <si>
    <t xml:space="preserve">чем меряли память</t>
  </si>
  <si>
    <t xml:space="preserve">torch.mps.driver_allocated_memory</t>
  </si>
  <si>
    <t xml:space="preserve">dtype</t>
  </si>
  <si>
    <t xml:space="preserve">bfloat16</t>
  </si>
  <si>
    <t xml:space="preserve">seq_len</t>
  </si>
  <si>
    <t xml:space="preserve">batch_size</t>
  </si>
  <si>
    <t xml:space="preserve">сколько раз повторяли замер</t>
  </si>
  <si>
    <t xml:space="preserve">что именно в шаге (forward / +backward / +optimizer)</t>
  </si>
  <si>
    <t xml:space="preserve">Inference: forward; FT и LoRA: forward + backward + AdamW.step</t>
  </si>
  <si>
    <t xml:space="preserve">модель</t>
  </si>
  <si>
    <t xml:space="preserve">Qwen/Qwen3-0.6B</t>
  </si>
  <si>
    <t xml:space="preserve">Условия и единицы</t>
  </si>
  <si>
    <t xml:space="preserve">MiB = 2²⁰ байт; время включает загрузку. Каждый режим — отдельный процесс.</t>
  </si>
  <si>
    <t xml:space="preserve">MPS: опрос 10 мс + границы стадий. use_cache=True; seed=42; AdamW lr=1e-5.</t>
  </si>
  <si>
    <t xml:space="preserve">macOS-26.5.2-arm64-arm-64bit; Python 3.12.14.</t>
  </si>
  <si>
    <t xml:space="preserve">torch 2.8.0; transformers 4.57.1; peft 0.17.1.</t>
  </si>
  <si>
    <t xml:space="preserve">Почему ваши числа именно такие</t>
  </si>
  <si>
    <t xml:space="preserve">Своими словами. Одного-двух предложений достаточно — но они должны быть про ваши числа, а не про чужие.</t>
  </si>
  <si>
    <t xml:space="preserve">вопрос</t>
  </si>
  <si>
    <t xml:space="preserve">ваш ответ</t>
  </si>
  <si>
    <t xml:space="preserve">Почему lm_head в вашей таблице весит столько, сколько весит?</t>
  </si>
  <si>
    <t xml:space="preserve">У lm_head нет собственных параметров: его вес — тот же объект, что и embed_tokens. Общие 155 582 464 параметра учтены один раз, поэтому вклад lm_head в итог равен 0.</t>
  </si>
  <si>
    <t xml:space="preserve">Почему k_proj вдвое меньше q_proj?</t>
  </si>
  <si>
    <t xml:space="preserve">У Qwen3 здесь 16 Q-голов и 8 KV-голов, head_dim=128. Поэтому q_proj имеет форму 2048×1024, а k_proj — 1024×1024: 58 720 256 против 29 360 128 параметров по 28 слоям.</t>
  </si>
  <si>
    <t xml:space="preserve">Почему MLP занимает большую долю модели, чем всё внимание вместе?</t>
  </si>
  <si>
    <t xml:space="preserve">MLP содержит три проекции SwiGLU с промежуточным размером 3072. Их суммарные 264 241 152 параметра — 44,33% модели, а четыре проекции attention дают 176 160 768 — 29,55%.</t>
  </si>
  <si>
    <t xml:space="preserve">Почему при 0,192% обучаемых параметров LoRA экономит намного больше памяти, чем 0,192%?</t>
  </si>
  <si>
    <t xml:space="preserve">Обучаются только 1 146 880 параметров адаптера: для базовых весов не нужны градиенты и состояния AdamW. Поэтому пик снижается с 7202.6 до 3270.8 MiB (на 54.6%), хотя базовые веса и активации всё ещё занимают память.</t>
  </si>
  <si>
    <t xml:space="preserve">Ваша метрика памяти — какая и почему именно она подходит вашему устройству?</t>
  </si>
  <si>
    <t xml:space="preserve">Используется torch.mps.driver_allocated_memory: модель работает на MPS, и метрика учитывает выделения драйвера Metal. RSS процесса их полностью не отражает; максимум выборок каждые 10 мс и после стадий может пропустить очень короткий пик.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</si>
</sst>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0%"/>
    <numFmt numFmtId="167" formatCode="#,##0.0"/>
    <numFmt numFmtId="168" formatCode="0.00"/>
    <numFmt numFmtId="169" formatCode="0.000"/>
    <numFmt numFmtId="170" formatCode="#,##0.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6B21A8"/>
      <name val="Calibri"/>
      <family val="0"/>
      <charset val="1"/>
    </font>
    <font>
      <sz val="11"/>
      <color rgb="FF1A1A2E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i val="true"/>
      <sz val="9"/>
      <color rgb="FF8888AA"/>
      <name val="Calibri"/>
      <family val="0"/>
      <charset val="1"/>
    </font>
    <font>
      <sz val="10"/>
      <color rgb="FF1A1A2E"/>
      <name val="Consolas"/>
      <family val="0"/>
      <charset val="1"/>
    </font>
    <font>
      <b val="true"/>
      <sz val="14"/>
      <color rgb="FF6D28D9"/>
      <name val="Calibri"/>
      <family val="0"/>
      <charset val="1"/>
    </font>
    <font>
      <i val="true"/>
      <sz val="9"/>
      <color rgb="FF8B83BA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D5FF"/>
        <bgColor rgb="FFFEE2E2"/>
      </patternFill>
    </fill>
    <fill>
      <patternFill patternType="solid">
        <fgColor rgb="FFFFF9E6"/>
        <bgColor rgb="FFF5F0FF"/>
      </patternFill>
    </fill>
    <fill>
      <patternFill patternType="solid">
        <fgColor rgb="FFF5F0FF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B21A8"/>
      <rgbColor rgb="FF008080"/>
      <rgbColor rgb="FFC0C0C0"/>
      <rgbColor rgb="FF8B83BA"/>
      <rgbColor rgb="FF9999FF"/>
      <rgbColor rgb="FF993366"/>
      <rgbColor rgb="FFF5F0FF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8B4FE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8888AA"/>
      <rgbColor rgb="FF003366"/>
      <rgbColor rgb="FF339966"/>
      <rgbColor rgb="FF003300"/>
      <rgbColor rgb="FF333300"/>
      <rgbColor rgb="FF993300"/>
      <rgbColor rgb="FF993366"/>
      <rgbColor rgb="FF6D28D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2" t="s">
        <v>13</v>
      </c>
    </row>
    <row r="21" customFormat="false" ht="15" hidden="false" customHeight="false" outlineLevel="0" collapsed="false">
      <c r="B21" s="0" t="s">
        <v>14</v>
      </c>
    </row>
    <row r="22" customFormat="false" ht="15" hidden="false" customHeight="false" outlineLevel="0" collapsed="false">
      <c r="B22" s="0" t="s">
        <v>15</v>
      </c>
    </row>
    <row r="23" customFormat="false" ht="15" hidden="false" customHeight="false" outlineLevel="0" collapsed="false">
      <c r="B23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</row>
    <row r="4" customFormat="false" ht="45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</row>
    <row r="5" customFormat="false" ht="15" hidden="false" customHeight="false" outlineLevel="0" collapsed="false">
      <c r="A5" s="7" t="s">
        <v>28</v>
      </c>
      <c r="B5" s="8" t="n">
        <v>1</v>
      </c>
      <c r="C5" s="8" t="n">
        <v>151936</v>
      </c>
      <c r="D5" s="8" t="n">
        <v>1024</v>
      </c>
      <c r="E5" s="9" t="n">
        <f aca="false">IF(COUNT(B5:D5)=3,B5*C5*D5,"")</f>
        <v>155582464</v>
      </c>
      <c r="F5" s="8" t="n">
        <v>155582464</v>
      </c>
      <c r="G5" s="10" t="str">
        <f aca="false">IF(E5="","—",IF(E5=F5,"сходится","РАСХОЖДЕНИЕ"))</f>
        <v>сходится</v>
      </c>
      <c r="H5" s="11" t="n">
        <f aca="false">IF($F$15=0,"",F5/$F$15)</f>
        <v>0.261022539857064</v>
      </c>
      <c r="I5" s="12"/>
    </row>
    <row r="6" customFormat="false" ht="15" hidden="false" customHeight="false" outlineLevel="0" collapsed="false">
      <c r="A6" s="7" t="s">
        <v>29</v>
      </c>
      <c r="B6" s="8" t="n">
        <v>28</v>
      </c>
      <c r="C6" s="8" t="n">
        <v>2048</v>
      </c>
      <c r="D6" s="8" t="n">
        <v>1024</v>
      </c>
      <c r="E6" s="9" t="n">
        <f aca="false">IF(COUNT(B6:D6)=3,B6*C6*D6,"")</f>
        <v>58720256</v>
      </c>
      <c r="F6" s="8" t="n">
        <v>58720256</v>
      </c>
      <c r="G6" s="10" t="str">
        <f aca="false">IF(E6="","—",IF(E6=F6,"сходится","РАСХОЖДЕНИЕ"))</f>
        <v>сходится</v>
      </c>
      <c r="H6" s="11" t="n">
        <f aca="false">IF($F$15=0,"",F6/$F$15)</f>
        <v>0.0985156679494228</v>
      </c>
      <c r="I6" s="12"/>
    </row>
    <row r="7" customFormat="false" ht="15" hidden="false" customHeight="false" outlineLevel="0" collapsed="false">
      <c r="A7" s="7" t="s">
        <v>30</v>
      </c>
      <c r="B7" s="8" t="n">
        <v>28</v>
      </c>
      <c r="C7" s="8" t="n">
        <v>1024</v>
      </c>
      <c r="D7" s="8" t="n">
        <v>1024</v>
      </c>
      <c r="E7" s="9" t="n">
        <f aca="false">IF(COUNT(B7:D7)=3,B7*C7*D7,"")</f>
        <v>29360128</v>
      </c>
      <c r="F7" s="8" t="n">
        <v>29360128</v>
      </c>
      <c r="G7" s="10" t="str">
        <f aca="false">IF(E7="","—",IF(E7=F7,"сходится","РАСХОЖДЕНИЕ"))</f>
        <v>сходится</v>
      </c>
      <c r="H7" s="11" t="n">
        <f aca="false">IF($F$15=0,"",F7/$F$15)</f>
        <v>0.0492578339747114</v>
      </c>
      <c r="I7" s="12"/>
    </row>
    <row r="8" customFormat="false" ht="15" hidden="false" customHeight="false" outlineLevel="0" collapsed="false">
      <c r="A8" s="7" t="s">
        <v>31</v>
      </c>
      <c r="B8" s="8" t="n">
        <v>28</v>
      </c>
      <c r="C8" s="8" t="n">
        <v>1024</v>
      </c>
      <c r="D8" s="8" t="n">
        <v>1024</v>
      </c>
      <c r="E8" s="9" t="n">
        <f aca="false">IF(COUNT(B8:D8)=3,B8*C8*D8,"")</f>
        <v>29360128</v>
      </c>
      <c r="F8" s="8" t="n">
        <v>29360128</v>
      </c>
      <c r="G8" s="10" t="str">
        <f aca="false">IF(E8="","—",IF(E8=F8,"сходится","РАСХОЖДЕНИЕ"))</f>
        <v>сходится</v>
      </c>
      <c r="H8" s="11" t="n">
        <f aca="false">IF($F$15=0,"",F8/$F$15)</f>
        <v>0.0492578339747114</v>
      </c>
      <c r="I8" s="12"/>
    </row>
    <row r="9" customFormat="false" ht="15" hidden="false" customHeight="false" outlineLevel="0" collapsed="false">
      <c r="A9" s="7" t="s">
        <v>32</v>
      </c>
      <c r="B9" s="8" t="n">
        <v>28</v>
      </c>
      <c r="C9" s="8" t="n">
        <v>1024</v>
      </c>
      <c r="D9" s="8" t="n">
        <v>2048</v>
      </c>
      <c r="E9" s="9" t="n">
        <f aca="false">IF(COUNT(B9:D9)=3,B9*C9*D9,"")</f>
        <v>58720256</v>
      </c>
      <c r="F9" s="8" t="n">
        <v>58720256</v>
      </c>
      <c r="G9" s="10" t="str">
        <f aca="false">IF(E9="","—",IF(E9=F9,"сходится","РАСХОЖДЕНИЕ"))</f>
        <v>сходится</v>
      </c>
      <c r="H9" s="11" t="n">
        <f aca="false">IF($F$15=0,"",F9/$F$15)</f>
        <v>0.0985156679494228</v>
      </c>
      <c r="I9" s="12"/>
    </row>
    <row r="10" customFormat="false" ht="15" hidden="false" customHeight="false" outlineLevel="0" collapsed="false">
      <c r="A10" s="7" t="s">
        <v>33</v>
      </c>
      <c r="B10" s="8" t="n">
        <v>28</v>
      </c>
      <c r="C10" s="8" t="n">
        <v>3072</v>
      </c>
      <c r="D10" s="8" t="n">
        <v>1024</v>
      </c>
      <c r="E10" s="9" t="n">
        <f aca="false">IF(COUNT(B10:D10)=3,B10*C10*D10,"")</f>
        <v>88080384</v>
      </c>
      <c r="F10" s="8" t="n">
        <v>88080384</v>
      </c>
      <c r="G10" s="10" t="str">
        <f aca="false">IF(E10="","—",IF(E10=F10,"сходится","РАСХОЖДЕНИЕ"))</f>
        <v>сходится</v>
      </c>
      <c r="H10" s="11" t="n">
        <f aca="false">IF($F$15=0,"",F10/$F$15)</f>
        <v>0.147773501924134</v>
      </c>
      <c r="I10" s="12"/>
    </row>
    <row r="11" customFormat="false" ht="15" hidden="false" customHeight="false" outlineLevel="0" collapsed="false">
      <c r="A11" s="7" t="s">
        <v>34</v>
      </c>
      <c r="B11" s="8" t="n">
        <v>28</v>
      </c>
      <c r="C11" s="8" t="n">
        <v>3072</v>
      </c>
      <c r="D11" s="8" t="n">
        <v>1024</v>
      </c>
      <c r="E11" s="9" t="n">
        <f aca="false">IF(COUNT(B11:D11)=3,B11*C11*D11,"")</f>
        <v>88080384</v>
      </c>
      <c r="F11" s="8" t="n">
        <v>88080384</v>
      </c>
      <c r="G11" s="10" t="str">
        <f aca="false">IF(E11="","—",IF(E11=F11,"сходится","РАСХОЖДЕНИЕ"))</f>
        <v>сходится</v>
      </c>
      <c r="H11" s="11" t="n">
        <f aca="false">IF($F$15=0,"",F11/$F$15)</f>
        <v>0.147773501924134</v>
      </c>
      <c r="I11" s="12"/>
    </row>
    <row r="12" customFormat="false" ht="15" hidden="false" customHeight="false" outlineLevel="0" collapsed="false">
      <c r="A12" s="7" t="s">
        <v>35</v>
      </c>
      <c r="B12" s="8" t="n">
        <v>28</v>
      </c>
      <c r="C12" s="8" t="n">
        <v>1024</v>
      </c>
      <c r="D12" s="8" t="n">
        <v>3072</v>
      </c>
      <c r="E12" s="9" t="n">
        <f aca="false">IF(COUNT(B12:D12)=3,B12*C12*D12,"")</f>
        <v>88080384</v>
      </c>
      <c r="F12" s="8" t="n">
        <v>88080384</v>
      </c>
      <c r="G12" s="10" t="str">
        <f aca="false">IF(E12="","—",IF(E12=F12,"сходится","РАСХОЖДЕНИЕ"))</f>
        <v>сходится</v>
      </c>
      <c r="H12" s="11" t="n">
        <f aca="false">IF($F$15=0,"",F12/$F$15)</f>
        <v>0.147773501924134</v>
      </c>
      <c r="I12" s="12"/>
    </row>
    <row r="13" customFormat="false" ht="42" hidden="false" customHeight="true" outlineLevel="0" collapsed="false">
      <c r="A13" s="7" t="s">
        <v>36</v>
      </c>
      <c r="B13" s="8" t="n">
        <v>1</v>
      </c>
      <c r="C13" s="8" t="n">
        <v>65536</v>
      </c>
      <c r="D13" s="8" t="n">
        <v>1</v>
      </c>
      <c r="E13" s="9" t="n">
        <f aca="false">IF(COUNT(B13:D13)=3,B13*C13*D13,"")</f>
        <v>65536</v>
      </c>
      <c r="F13" s="8" t="n">
        <v>65536</v>
      </c>
      <c r="G13" s="10" t="str">
        <f aca="false">IF(E13="","—",IF(E13=F13,"сходится","РАСХОЖДЕНИЕ"))</f>
        <v>сходится</v>
      </c>
      <c r="H13" s="11" t="n">
        <f aca="false">IF($F$15=0,"",F13/$F$15)</f>
        <v>0.000109950522264981</v>
      </c>
      <c r="I13" s="13" t="s">
        <v>37</v>
      </c>
    </row>
    <row r="14" customFormat="false" ht="42" hidden="false" customHeight="true" outlineLevel="0" collapsed="false">
      <c r="A14" s="7" t="s">
        <v>38</v>
      </c>
      <c r="B14" s="8" t="n">
        <v>0</v>
      </c>
      <c r="C14" s="8" t="n">
        <v>151936</v>
      </c>
      <c r="D14" s="8" t="n">
        <v>1024</v>
      </c>
      <c r="E14" s="9" t="n">
        <f aca="false">IF(COUNT(B14:D14)=3,B14*C14*D14,"")</f>
        <v>0</v>
      </c>
      <c r="F14" s="8" t="n">
        <v>0</v>
      </c>
      <c r="G14" s="10" t="str">
        <f aca="false">IF(E14="","—",IF(E14=F14,"сходится","РАСХОЖДЕНИЕ"))</f>
        <v>сходится</v>
      </c>
      <c r="H14" s="11" t="n">
        <f aca="false">IF($F$15=0,"",F14/$F$15)</f>
        <v>0</v>
      </c>
      <c r="I14" s="13" t="s">
        <v>39</v>
      </c>
    </row>
    <row r="15" customFormat="false" ht="15" hidden="false" customHeight="false" outlineLevel="0" collapsed="false">
      <c r="A15" s="14" t="s">
        <v>40</v>
      </c>
      <c r="B15" s="15"/>
      <c r="C15" s="15"/>
      <c r="D15" s="15"/>
      <c r="E15" s="15"/>
      <c r="F15" s="16" t="n">
        <f aca="false">SUM(F5:F14)</f>
        <v>596049920</v>
      </c>
      <c r="H15" s="11" t="n">
        <f aca="false">IF(F15=0,"",F15/F15)</f>
        <v>1</v>
      </c>
    </row>
    <row r="16" customFormat="false" ht="15" hidden="false" customHeight="false" outlineLevel="0" collapsed="false"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4" t="s">
        <v>41</v>
      </c>
      <c r="B17" s="15"/>
      <c r="C17" s="15"/>
      <c r="D17" s="15"/>
      <c r="E17" s="15"/>
      <c r="F17" s="8" t="n">
        <v>596049920</v>
      </c>
    </row>
    <row r="18" customFormat="false" ht="15" hidden="false" customHeight="false" outlineLevel="0" collapsed="false">
      <c r="A18" s="14" t="s">
        <v>42</v>
      </c>
      <c r="F18" s="10" t="str">
        <f aca="false">IF(F17="","заполните",IF(F15=F17,"да, сходится","НЕ СХОДИТСЯ"))</f>
        <v>да, сходится</v>
      </c>
    </row>
  </sheetData>
  <conditionalFormatting sqref="G5:G14">
    <cfRule type="expression" priority="2" aboveAverage="0" equalAverage="0" bottom="0" percent="0" rank="0" text="" dxfId="0">
      <formula>EXACT(G5,"РАСХОЖДЕНИЕ")</formula>
    </cfRule>
    <cfRule type="expression" priority="3" aboveAverage="0" equalAverage="0" bottom="0" percent="0" rank="0" text="" dxfId="1">
      <formula>EXACT(G5,"сходится")</formula>
    </cfRule>
  </conditionalFormatting>
  <conditionalFormatting sqref="F18">
    <cfRule type="expression" priority="4" aboveAverage="0" equalAverage="0" bottom="0" percent="0" rank="0" text="" dxfId="0">
      <formula>EXACT(F18,"НЕ СХОДИТСЯ")</formula>
    </cfRule>
    <cfRule type="expression" priority="5" aboveAverage="0" equalAverage="0" bottom="0" percent="0" rank="0" text="" dxfId="1">
      <formula>EXACT(F18,"да, сходится")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4" t="s">
        <v>43</v>
      </c>
    </row>
    <row r="2" customFormat="false" ht="15" hidden="false" customHeight="false" outlineLevel="0" collapsed="false">
      <c r="A2" s="5" t="s">
        <v>44</v>
      </c>
    </row>
    <row r="4" customFormat="false" ht="15" hidden="false" customHeight="false" outlineLevel="0" collapsed="false">
      <c r="A4" s="14" t="s">
        <v>45</v>
      </c>
      <c r="B4" s="17" t="n">
        <v>8</v>
      </c>
    </row>
    <row r="5" customFormat="false" ht="15" hidden="false" customHeight="false" outlineLevel="0" collapsed="false">
      <c r="A5" s="14" t="s">
        <v>46</v>
      </c>
      <c r="B5" s="17" t="n">
        <v>16</v>
      </c>
    </row>
    <row r="7" customFormat="false" ht="38" hidden="false" customHeight="true" outlineLevel="0" collapsed="false">
      <c r="A7" s="6" t="s">
        <v>47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</row>
    <row r="8" customFormat="false" ht="15" hidden="false" customHeight="false" outlineLevel="0" collapsed="false">
      <c r="A8" s="7" t="s">
        <v>29</v>
      </c>
      <c r="B8" s="8" t="n">
        <v>28</v>
      </c>
      <c r="C8" s="8" t="n">
        <v>1024</v>
      </c>
      <c r="D8" s="8" t="n">
        <v>2048</v>
      </c>
      <c r="E8" s="9" t="n">
        <f aca="false">IF(OR(F8&lt;&gt;"да",COUNT(B8:D8)&lt;3),0,$B$4*(C8+D8)*B8)</f>
        <v>688128</v>
      </c>
      <c r="F8" s="17" t="s">
        <v>53</v>
      </c>
    </row>
    <row r="9" customFormat="false" ht="15" hidden="false" customHeight="false" outlineLevel="0" collapsed="false">
      <c r="A9" s="7" t="s">
        <v>30</v>
      </c>
      <c r="B9" s="8" t="n">
        <v>28</v>
      </c>
      <c r="C9" s="8" t="n">
        <v>1024</v>
      </c>
      <c r="D9" s="8" t="n">
        <v>1024</v>
      </c>
      <c r="E9" s="9" t="n">
        <f aca="false">IF(OR(F9&lt;&gt;"да",COUNT(B9:D9)&lt;3),0,$B$4*(C9+D9)*B9)</f>
        <v>0</v>
      </c>
      <c r="F9" s="17" t="s">
        <v>54</v>
      </c>
    </row>
    <row r="10" customFormat="false" ht="15" hidden="false" customHeight="false" outlineLevel="0" collapsed="false">
      <c r="A10" s="7" t="s">
        <v>31</v>
      </c>
      <c r="B10" s="8" t="n">
        <v>28</v>
      </c>
      <c r="C10" s="8" t="n">
        <v>1024</v>
      </c>
      <c r="D10" s="8" t="n">
        <v>1024</v>
      </c>
      <c r="E10" s="9" t="n">
        <f aca="false">IF(OR(F10&lt;&gt;"да",COUNT(B10:D10)&lt;3),0,$B$4*(C10+D10)*B10)</f>
        <v>458752</v>
      </c>
      <c r="F10" s="17" t="s">
        <v>53</v>
      </c>
    </row>
    <row r="11" customFormat="false" ht="15" hidden="false" customHeight="false" outlineLevel="0" collapsed="false">
      <c r="A11" s="7" t="s">
        <v>32</v>
      </c>
      <c r="B11" s="8" t="n">
        <v>28</v>
      </c>
      <c r="C11" s="8" t="n">
        <v>2048</v>
      </c>
      <c r="D11" s="8" t="n">
        <v>1024</v>
      </c>
      <c r="E11" s="9" t="n">
        <f aca="false">IF(OR(F11&lt;&gt;"да",COUNT(B11:D11)&lt;3),0,$B$4*(C11+D11)*B11)</f>
        <v>0</v>
      </c>
      <c r="F11" s="17" t="s">
        <v>54</v>
      </c>
    </row>
    <row r="12" customFormat="false" ht="15" hidden="false" customHeight="false" outlineLevel="0" collapsed="false">
      <c r="A12" s="7" t="s">
        <v>33</v>
      </c>
      <c r="B12" s="8" t="n">
        <v>28</v>
      </c>
      <c r="C12" s="8" t="n">
        <v>1024</v>
      </c>
      <c r="D12" s="8" t="n">
        <v>3072</v>
      </c>
      <c r="E12" s="9" t="n">
        <f aca="false">IF(OR(F12&lt;&gt;"да",COUNT(B12:D12)&lt;3),0,$B$4*(C12+D12)*B12)</f>
        <v>0</v>
      </c>
      <c r="F12" s="17" t="s">
        <v>54</v>
      </c>
    </row>
    <row r="13" customFormat="false" ht="15" hidden="false" customHeight="false" outlineLevel="0" collapsed="false">
      <c r="A13" s="7" t="s">
        <v>34</v>
      </c>
      <c r="B13" s="8" t="n">
        <v>28</v>
      </c>
      <c r="C13" s="8" t="n">
        <v>1024</v>
      </c>
      <c r="D13" s="8" t="n">
        <v>3072</v>
      </c>
      <c r="E13" s="9" t="n">
        <f aca="false">IF(OR(F13&lt;&gt;"да",COUNT(B13:D13)&lt;3),0,$B$4*(C13+D13)*B13)</f>
        <v>0</v>
      </c>
      <c r="F13" s="17" t="s">
        <v>54</v>
      </c>
    </row>
    <row r="14" customFormat="false" ht="15" hidden="false" customHeight="false" outlineLevel="0" collapsed="false">
      <c r="A14" s="7" t="s">
        <v>35</v>
      </c>
      <c r="B14" s="8" t="n">
        <v>28</v>
      </c>
      <c r="C14" s="8" t="n">
        <v>3072</v>
      </c>
      <c r="D14" s="8" t="n">
        <v>1024</v>
      </c>
      <c r="E14" s="9" t="n">
        <f aca="false">IF(OR(F14&lt;&gt;"да",COUNT(B14:D14)&lt;3),0,$B$4*(C14+D14)*B14)</f>
        <v>0</v>
      </c>
      <c r="F14" s="17" t="s">
        <v>54</v>
      </c>
    </row>
    <row r="15" customFormat="false" ht="15" hidden="false" customHeight="false" outlineLevel="0" collapsed="false">
      <c r="A15" s="14" t="s">
        <v>55</v>
      </c>
      <c r="B15" s="15"/>
      <c r="C15" s="15"/>
      <c r="D15" s="15"/>
      <c r="E15" s="16" t="n">
        <f aca="false">SUM(E8:E14)</f>
        <v>1146880</v>
      </c>
    </row>
    <row r="16" customFormat="false" ht="15" hidden="false" customHeight="false" outlineLevel="0" collapsed="false">
      <c r="A16" s="14" t="s">
        <v>56</v>
      </c>
      <c r="B16" s="15"/>
      <c r="C16" s="15"/>
      <c r="D16" s="15"/>
      <c r="E16" s="8" t="n">
        <v>1146880</v>
      </c>
    </row>
    <row r="17" customFormat="false" ht="15" hidden="false" customHeight="false" outlineLevel="0" collapsed="false">
      <c r="A17" s="14" t="s">
        <v>57</v>
      </c>
      <c r="B17" s="15"/>
      <c r="C17" s="15"/>
      <c r="D17" s="15"/>
      <c r="E17" s="9" t="str">
        <f aca="false">IF(E16="","заполните",IF(E15=E16,"да, совпало","НЕ СОВПАЛО"))</f>
        <v>да, совпало</v>
      </c>
    </row>
    <row r="18" customFormat="false" ht="15" hidden="false" customHeight="false" outlineLevel="0" collapsed="false">
      <c r="B18" s="15"/>
      <c r="C18" s="15"/>
      <c r="D18" s="15"/>
      <c r="E18" s="15"/>
    </row>
    <row r="19" customFormat="false" ht="15" hidden="false" customHeight="false" outlineLevel="0" collapsed="false">
      <c r="A19" s="14" t="s">
        <v>58</v>
      </c>
      <c r="B19" s="15"/>
      <c r="C19" s="15"/>
      <c r="D19" s="15"/>
      <c r="E19" s="8" t="n">
        <v>596049920</v>
      </c>
    </row>
    <row r="20" customFormat="false" ht="15" hidden="false" customHeight="false" outlineLevel="0" collapsed="false">
      <c r="A20" s="14" t="s">
        <v>59</v>
      </c>
      <c r="E20" s="11" t="n">
        <f aca="false">IF(E19="","",E15/E19)</f>
        <v>0.00192413413963716</v>
      </c>
    </row>
    <row r="25" customFormat="false" ht="17.35" hidden="false" customHeight="false" outlineLevel="0" collapsed="false">
      <c r="A25" s="18" t="s">
        <v>60</v>
      </c>
      <c r="B25" s="19"/>
      <c r="C25" s="19"/>
      <c r="D25" s="19"/>
      <c r="E25" s="19"/>
      <c r="F25" s="19"/>
    </row>
    <row r="26" customFormat="false" ht="15" hidden="false" customHeight="false" outlineLevel="0" collapsed="false">
      <c r="A26" s="20" t="s">
        <v>44</v>
      </c>
      <c r="B26" s="19"/>
      <c r="C26" s="19"/>
      <c r="D26" s="19"/>
      <c r="E26" s="19"/>
      <c r="F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</row>
    <row r="28" customFormat="false" ht="15" hidden="false" customHeight="false" outlineLevel="0" collapsed="false">
      <c r="A28" s="21" t="s">
        <v>45</v>
      </c>
      <c r="B28" s="22" t="n">
        <v>16</v>
      </c>
      <c r="C28" s="19"/>
      <c r="D28" s="19"/>
      <c r="E28" s="19"/>
      <c r="F28" s="19"/>
    </row>
    <row r="29" customFormat="false" ht="15" hidden="false" customHeight="false" outlineLevel="0" collapsed="false">
      <c r="A29" s="21" t="s">
        <v>46</v>
      </c>
      <c r="B29" s="22" t="n">
        <v>32</v>
      </c>
      <c r="C29" s="19"/>
      <c r="D29" s="19"/>
      <c r="E29" s="19"/>
      <c r="F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</row>
    <row r="31" customFormat="false" ht="38" hidden="false" customHeight="true" outlineLevel="0" collapsed="false">
      <c r="A31" s="23" t="s">
        <v>47</v>
      </c>
      <c r="B31" s="23" t="s">
        <v>48</v>
      </c>
      <c r="C31" s="23" t="s">
        <v>49</v>
      </c>
      <c r="D31" s="23" t="s">
        <v>50</v>
      </c>
      <c r="E31" s="23" t="s">
        <v>51</v>
      </c>
      <c r="F31" s="23" t="s">
        <v>52</v>
      </c>
    </row>
    <row r="32" customFormat="false" ht="15" hidden="false" customHeight="false" outlineLevel="0" collapsed="false">
      <c r="A32" s="19" t="s">
        <v>29</v>
      </c>
      <c r="B32" s="24" t="n">
        <v>28</v>
      </c>
      <c r="C32" s="24" t="n">
        <v>1024</v>
      </c>
      <c r="D32" s="24" t="n">
        <v>2048</v>
      </c>
      <c r="E32" s="25" t="n">
        <f aca="false">IF(OR(F32&lt;&gt;"да",COUNT(B32:D32)&lt;3),0,$B$28*(C32+D32)*B32)</f>
        <v>1376256</v>
      </c>
      <c r="F32" s="22" t="s">
        <v>53</v>
      </c>
    </row>
    <row r="33" customFormat="false" ht="15" hidden="false" customHeight="false" outlineLevel="0" collapsed="false">
      <c r="A33" s="19" t="s">
        <v>30</v>
      </c>
      <c r="B33" s="24" t="n">
        <v>28</v>
      </c>
      <c r="C33" s="24" t="n">
        <v>1024</v>
      </c>
      <c r="D33" s="24" t="n">
        <v>1024</v>
      </c>
      <c r="E33" s="25" t="n">
        <f aca="false">IF(OR(F33&lt;&gt;"да",COUNT(B33:D33)&lt;3),0,$B$28*(C33+D33)*B33)</f>
        <v>917504</v>
      </c>
      <c r="F33" s="22" t="s">
        <v>53</v>
      </c>
    </row>
    <row r="34" customFormat="false" ht="15" hidden="false" customHeight="false" outlineLevel="0" collapsed="false">
      <c r="A34" s="19" t="s">
        <v>31</v>
      </c>
      <c r="B34" s="24" t="n">
        <v>28</v>
      </c>
      <c r="C34" s="24" t="n">
        <v>1024</v>
      </c>
      <c r="D34" s="24" t="n">
        <v>1024</v>
      </c>
      <c r="E34" s="25" t="n">
        <f aca="false">IF(OR(F34&lt;&gt;"да",COUNT(B34:D34)&lt;3),0,$B$28*(C34+D34)*B34)</f>
        <v>917504</v>
      </c>
      <c r="F34" s="22" t="s">
        <v>53</v>
      </c>
    </row>
    <row r="35" customFormat="false" ht="15" hidden="false" customHeight="false" outlineLevel="0" collapsed="false">
      <c r="A35" s="19" t="s">
        <v>32</v>
      </c>
      <c r="B35" s="24" t="n">
        <v>28</v>
      </c>
      <c r="C35" s="24" t="n">
        <v>2048</v>
      </c>
      <c r="D35" s="24" t="n">
        <v>1024</v>
      </c>
      <c r="E35" s="25" t="n">
        <f aca="false">IF(OR(F35&lt;&gt;"да",COUNT(B35:D35)&lt;3),0,$B$28*(C35+D35)*B35)</f>
        <v>1376256</v>
      </c>
      <c r="F35" s="22" t="s">
        <v>53</v>
      </c>
    </row>
    <row r="36" customFormat="false" ht="15" hidden="false" customHeight="false" outlineLevel="0" collapsed="false">
      <c r="A36" s="19" t="s">
        <v>33</v>
      </c>
      <c r="B36" s="24" t="n">
        <v>28</v>
      </c>
      <c r="C36" s="24" t="n">
        <v>1024</v>
      </c>
      <c r="D36" s="24" t="n">
        <v>3072</v>
      </c>
      <c r="E36" s="25" t="n">
        <f aca="false">IF(OR(F36&lt;&gt;"да",COUNT(B36:D36)&lt;3),0,$B$28*(C36+D36)*B36)</f>
        <v>1835008</v>
      </c>
      <c r="F36" s="22" t="s">
        <v>53</v>
      </c>
    </row>
    <row r="37" customFormat="false" ht="15" hidden="false" customHeight="false" outlineLevel="0" collapsed="false">
      <c r="A37" s="19" t="s">
        <v>34</v>
      </c>
      <c r="B37" s="24" t="n">
        <v>28</v>
      </c>
      <c r="C37" s="24" t="n">
        <v>1024</v>
      </c>
      <c r="D37" s="24" t="n">
        <v>3072</v>
      </c>
      <c r="E37" s="25" t="n">
        <f aca="false">IF(OR(F37&lt;&gt;"да",COUNT(B37:D37)&lt;3),0,$B$28*(C37+D37)*B37)</f>
        <v>1835008</v>
      </c>
      <c r="F37" s="22" t="s">
        <v>53</v>
      </c>
    </row>
    <row r="38" customFormat="false" ht="15" hidden="false" customHeight="false" outlineLevel="0" collapsed="false">
      <c r="A38" s="19" t="s">
        <v>35</v>
      </c>
      <c r="B38" s="24" t="n">
        <v>28</v>
      </c>
      <c r="C38" s="24" t="n">
        <v>3072</v>
      </c>
      <c r="D38" s="24" t="n">
        <v>1024</v>
      </c>
      <c r="E38" s="25" t="n">
        <f aca="false">IF(OR(F38&lt;&gt;"да",COUNT(B38:D38)&lt;3),0,$B$28*(C38+D38)*B38)</f>
        <v>1835008</v>
      </c>
      <c r="F38" s="22" t="s">
        <v>53</v>
      </c>
    </row>
    <row r="39" customFormat="false" ht="15" hidden="false" customHeight="false" outlineLevel="0" collapsed="false">
      <c r="A39" s="21" t="s">
        <v>55</v>
      </c>
      <c r="B39" s="15"/>
      <c r="C39" s="15"/>
      <c r="D39" s="15"/>
      <c r="E39" s="26" t="n">
        <f aca="false">SUM(E32:E38)</f>
        <v>10092544</v>
      </c>
      <c r="F39" s="19"/>
    </row>
    <row r="40" customFormat="false" ht="15" hidden="false" customHeight="false" outlineLevel="0" collapsed="false">
      <c r="A40" s="21" t="s">
        <v>56</v>
      </c>
      <c r="B40" s="15"/>
      <c r="C40" s="15"/>
      <c r="D40" s="15"/>
      <c r="E40" s="24" t="n">
        <v>10092544</v>
      </c>
      <c r="F40" s="19"/>
    </row>
    <row r="41" customFormat="false" ht="15" hidden="false" customHeight="false" outlineLevel="0" collapsed="false">
      <c r="A41" s="21" t="s">
        <v>57</v>
      </c>
      <c r="B41" s="15"/>
      <c r="C41" s="15"/>
      <c r="D41" s="15"/>
      <c r="E41" s="25" t="str">
        <f aca="false">IF(E40="","заполните",IF(E39=E40,"да, совпало","НЕ СОВПАЛО"))</f>
        <v>да, совпало</v>
      </c>
      <c r="F41" s="19"/>
    </row>
    <row r="42" customFormat="false" ht="15" hidden="false" customHeight="false" outlineLevel="0" collapsed="false">
      <c r="A42" s="19"/>
      <c r="B42" s="15"/>
      <c r="C42" s="15"/>
      <c r="D42" s="15"/>
      <c r="E42" s="15"/>
      <c r="F42" s="19"/>
    </row>
    <row r="43" customFormat="false" ht="15" hidden="false" customHeight="false" outlineLevel="0" collapsed="false">
      <c r="A43" s="21" t="s">
        <v>58</v>
      </c>
      <c r="B43" s="15"/>
      <c r="C43" s="15"/>
      <c r="D43" s="15"/>
      <c r="E43" s="24" t="n">
        <v>596049920</v>
      </c>
      <c r="F43" s="19"/>
    </row>
    <row r="44" customFormat="false" ht="15" hidden="false" customHeight="false" outlineLevel="0" collapsed="false">
      <c r="A44" s="21" t="s">
        <v>59</v>
      </c>
      <c r="B44" s="19"/>
      <c r="C44" s="19"/>
      <c r="D44" s="19"/>
      <c r="E44" s="27" t="n">
        <f aca="false">IF(E43="","",E39/E43)</f>
        <v>0.016932380428807</v>
      </c>
      <c r="F44" s="19"/>
    </row>
  </sheetData>
  <conditionalFormatting sqref="E17">
    <cfRule type="expression" priority="2" aboveAverage="0" equalAverage="0" bottom="0" percent="0" rank="0" text="" dxfId="0">
      <formula>EXACT(E17,"НЕ СОВПАЛО")</formula>
    </cfRule>
    <cfRule type="expression" priority="3" aboveAverage="0" equalAverage="0" bottom="0" percent="0" rank="0" text="" dxfId="1">
      <formula>EXACT(E17,"да, совпало")</formula>
    </cfRule>
  </conditionalFormatting>
  <conditionalFormatting sqref="E41">
    <cfRule type="cellIs" priority="4" operator="equal" aboveAverage="0" equalAverage="0" bottom="0" percent="0" rank="0" text="" dxfId="2">
      <formula>"да, совпало"</formula>
    </cfRule>
    <cfRule type="cellIs" priority="5" operator="equal" aboveAverage="0" equalAverage="0" bottom="0" percent="0" rank="0" text="" dxfId="3">
      <formula>"НЕ СОВПАЛО"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4" t="s">
        <v>61</v>
      </c>
    </row>
    <row r="2" customFormat="false" ht="15" hidden="false" customHeight="false" outlineLevel="0" collapsed="false">
      <c r="A2" s="5" t="s">
        <v>62</v>
      </c>
    </row>
    <row r="4" customFormat="false" ht="30" hidden="false" customHeight="tru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</row>
    <row r="5" customFormat="false" ht="15" hidden="false" customHeight="false" outlineLevel="0" collapsed="false">
      <c r="A5" s="28" t="s">
        <v>68</v>
      </c>
      <c r="B5" s="29" t="n">
        <v>1546.8</v>
      </c>
      <c r="C5" s="30" t="n">
        <f aca="false">IF($B$5="","",B5/$B$5)</f>
        <v>1</v>
      </c>
      <c r="D5" s="31" t="n">
        <v>2.318</v>
      </c>
      <c r="E5" s="10" t="str">
        <f aca="false">IF(OR(B5="",$B$14=""),"",IF(B5&gt;=$B$14,"да","МЕНЬШЕ ВЕСОВ"))</f>
        <v>да</v>
      </c>
    </row>
    <row r="6" customFormat="false" ht="15" hidden="false" customHeight="false" outlineLevel="0" collapsed="false">
      <c r="A6" s="28" t="s">
        <v>69</v>
      </c>
      <c r="B6" s="29" t="n">
        <v>7202.6</v>
      </c>
      <c r="C6" s="30" t="n">
        <f aca="false">IF($B$5="","",B6/$B$5)</f>
        <v>4.65645202999741</v>
      </c>
      <c r="D6" s="31" t="n">
        <v>3.492</v>
      </c>
      <c r="E6" s="10" t="str">
        <f aca="false">IF(OR(B6="",$B$14=""),"",IF(B6&gt;=$B$14,"да","МЕНЬШЕ ВЕСОВ"))</f>
        <v>да</v>
      </c>
    </row>
    <row r="7" customFormat="false" ht="15" hidden="false" customHeight="false" outlineLevel="0" collapsed="false">
      <c r="A7" s="28" t="s">
        <v>70</v>
      </c>
      <c r="B7" s="29" t="n">
        <v>3270.8</v>
      </c>
      <c r="C7" s="30" t="n">
        <f aca="false">IF($B$5="","",B7/$B$5)</f>
        <v>2.11455908973364</v>
      </c>
      <c r="D7" s="31" t="n">
        <v>3.949</v>
      </c>
      <c r="E7" s="10" t="str">
        <f aca="false">IF(OR(B7="",$B$14=""),"",IF(B7&gt;=$B$14,"да","МЕНЬШЕ ВЕСОВ"))</f>
        <v>да</v>
      </c>
    </row>
    <row r="9" customFormat="false" ht="15" hidden="false" customHeight="false" outlineLevel="0" collapsed="false">
      <c r="A9" s="14" t="s">
        <v>71</v>
      </c>
    </row>
    <row r="10" customFormat="false" ht="15" hidden="false" customHeight="false" outlineLevel="0" collapsed="false">
      <c r="A10" s="28" t="s">
        <v>72</v>
      </c>
      <c r="B10" s="8" t="n">
        <v>596049920</v>
      </c>
    </row>
    <row r="11" customFormat="false" ht="15" hidden="false" customHeight="false" outlineLevel="0" collapsed="false">
      <c r="A11" s="28" t="s">
        <v>73</v>
      </c>
      <c r="B11" s="17" t="n">
        <v>2</v>
      </c>
    </row>
    <row r="13" customFormat="false" ht="15" hidden="false" customHeight="false" outlineLevel="0" collapsed="false">
      <c r="A13" s="14" t="s">
        <v>74</v>
      </c>
    </row>
    <row r="14" customFormat="false" ht="15" hidden="false" customHeight="false" outlineLevel="0" collapsed="false">
      <c r="A14" s="14"/>
      <c r="B14" s="32" t="n">
        <f aca="false">IF(COUNT(B10:B11)&lt;2,"",B10*B11/1048576)</f>
        <v>1136.875</v>
      </c>
    </row>
    <row r="16" customFormat="false" ht="15" hidden="false" customHeight="false" outlineLevel="0" collapsed="false">
      <c r="A16" s="14" t="s">
        <v>75</v>
      </c>
    </row>
    <row r="17" customFormat="false" ht="30" hidden="false" customHeight="true" outlineLevel="0" collapsed="false">
      <c r="A17" s="33" t="s">
        <v>76</v>
      </c>
      <c r="B17" s="34" t="s">
        <v>77</v>
      </c>
    </row>
    <row r="18" customFormat="false" ht="36" hidden="false" customHeight="true" outlineLevel="0" collapsed="false">
      <c r="A18" s="33" t="s">
        <v>78</v>
      </c>
      <c r="B18" s="34" t="s">
        <v>79</v>
      </c>
    </row>
    <row r="19" customFormat="false" ht="30" hidden="false" customHeight="true" outlineLevel="0" collapsed="false">
      <c r="A19" s="33" t="s">
        <v>80</v>
      </c>
      <c r="B19" s="34" t="s">
        <v>81</v>
      </c>
    </row>
    <row r="20" customFormat="false" ht="30" hidden="false" customHeight="true" outlineLevel="0" collapsed="false">
      <c r="A20" s="33" t="s">
        <v>82</v>
      </c>
      <c r="B20" s="34" t="n">
        <v>256</v>
      </c>
    </row>
    <row r="21" customFormat="false" ht="30" hidden="false" customHeight="true" outlineLevel="0" collapsed="false">
      <c r="A21" s="33" t="s">
        <v>83</v>
      </c>
      <c r="B21" s="34" t="n">
        <v>1</v>
      </c>
    </row>
    <row r="22" customFormat="false" ht="30" hidden="false" customHeight="true" outlineLevel="0" collapsed="false">
      <c r="A22" s="33" t="s">
        <v>84</v>
      </c>
      <c r="B22" s="34" t="n">
        <v>1</v>
      </c>
    </row>
    <row r="23" customFormat="false" ht="44" hidden="false" customHeight="true" outlineLevel="0" collapsed="false">
      <c r="A23" s="33" t="s">
        <v>85</v>
      </c>
      <c r="B23" s="34" t="s">
        <v>86</v>
      </c>
    </row>
    <row r="24" customFormat="false" ht="30" hidden="false" customHeight="true" outlineLevel="0" collapsed="false">
      <c r="A24" s="33" t="s">
        <v>87</v>
      </c>
      <c r="B24" s="34" t="s">
        <v>88</v>
      </c>
    </row>
    <row r="26" customFormat="false" ht="15" hidden="false" customHeight="false" outlineLevel="0" collapsed="false">
      <c r="A26" s="0" t="s">
        <v>89</v>
      </c>
      <c r="B26" s="35" t="s">
        <v>90</v>
      </c>
      <c r="C26" s="35"/>
      <c r="D26" s="35"/>
      <c r="E26" s="35"/>
    </row>
    <row r="27" customFormat="false" ht="15" hidden="false" customHeight="false" outlineLevel="0" collapsed="false">
      <c r="B27" s="35" t="s">
        <v>91</v>
      </c>
      <c r="C27" s="35"/>
      <c r="D27" s="35"/>
      <c r="E27" s="35"/>
    </row>
    <row r="28" customFormat="false" ht="15" hidden="false" customHeight="false" outlineLevel="0" collapsed="false">
      <c r="B28" s="35" t="s">
        <v>92</v>
      </c>
      <c r="C28" s="35"/>
      <c r="D28" s="35"/>
      <c r="E28" s="35"/>
    </row>
    <row r="29" customFormat="false" ht="15" hidden="false" customHeight="false" outlineLevel="0" collapsed="false">
      <c r="B29" s="35" t="s">
        <v>93</v>
      </c>
      <c r="C29" s="35"/>
      <c r="D29" s="35"/>
      <c r="E29" s="35"/>
    </row>
  </sheetData>
  <mergeCells count="1">
    <mergeCell ref="A13:A14"/>
  </mergeCells>
  <conditionalFormatting sqref="E5:E7">
    <cfRule type="expression" priority="2" aboveAverage="0" equalAverage="0" bottom="0" percent="0" rank="0" text="" dxfId="0">
      <formula>EXACT(E5,"МЕНЬШЕ ВЕСОВ")</formula>
    </cfRule>
    <cfRule type="expression" priority="3" aboveAverage="0" equalAverage="0" bottom="0" percent="0" rank="0" text="" dxfId="1">
      <formula>EXACT(E5,"да")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94</v>
      </c>
    </row>
    <row r="2" customFormat="false" ht="15" hidden="false" customHeight="false" outlineLevel="0" collapsed="false">
      <c r="A2" s="5" t="s">
        <v>95</v>
      </c>
    </row>
    <row r="4" customFormat="false" ht="30" hidden="false" customHeight="true" outlineLevel="0" collapsed="false">
      <c r="A4" s="6"/>
      <c r="B4" s="6" t="s">
        <v>96</v>
      </c>
      <c r="C4" s="6" t="s">
        <v>97</v>
      </c>
    </row>
    <row r="5" customFormat="false" ht="58" hidden="false" customHeight="true" outlineLevel="0" collapsed="false">
      <c r="A5" s="14" t="n">
        <v>1</v>
      </c>
      <c r="B5" s="36" t="s">
        <v>98</v>
      </c>
      <c r="C5" s="37" t="s">
        <v>99</v>
      </c>
    </row>
    <row r="6" customFormat="false" ht="58" hidden="false" customHeight="true" outlineLevel="0" collapsed="false">
      <c r="A6" s="14" t="n">
        <v>2</v>
      </c>
      <c r="B6" s="36" t="s">
        <v>100</v>
      </c>
      <c r="C6" s="37" t="s">
        <v>101</v>
      </c>
    </row>
    <row r="7" customFormat="false" ht="58" hidden="false" customHeight="true" outlineLevel="0" collapsed="false">
      <c r="A7" s="14" t="n">
        <v>3</v>
      </c>
      <c r="B7" s="36" t="s">
        <v>102</v>
      </c>
      <c r="C7" s="37" t="s">
        <v>103</v>
      </c>
    </row>
    <row r="8" customFormat="false" ht="58" hidden="false" customHeight="true" outlineLevel="0" collapsed="false">
      <c r="A8" s="14" t="n">
        <v>4</v>
      </c>
      <c r="B8" s="36" t="s">
        <v>104</v>
      </c>
      <c r="C8" s="37" t="s">
        <v>105</v>
      </c>
    </row>
    <row r="9" customFormat="false" ht="58" hidden="false" customHeight="true" outlineLevel="0" collapsed="false">
      <c r="A9" s="14" t="n">
        <v>5</v>
      </c>
      <c r="B9" s="36" t="s">
        <v>106</v>
      </c>
      <c r="C9" s="37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